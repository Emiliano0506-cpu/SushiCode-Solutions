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dith\Downloads\"/>
    </mc:Choice>
  </mc:AlternateContent>
  <xr:revisionPtr revIDLastSave="0" documentId="13_ncr:1_{0E2E50EB-62C7-43C0-887B-F2E8555991D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ERT - Dulce" sheetId="1" r:id="rId1"/>
    <sheet name="Notas" sheetId="2" r:id="rId2"/>
    <sheet name="Ruta crítica - sección 4" sheetId="3" r:id="rId3"/>
  </sheets>
  <definedNames>
    <definedName name="_xlnm._FilterDatabase" localSheetId="0" hidden="1">'PERT - Dulce'!$A$4:$I$42</definedName>
    <definedName name="_xlnm._FilterDatabase" localSheetId="2" hidden="1">'Ruta crítica - sección 4'!$A$9:$H$46</definedName>
  </definedNames>
  <calcPr calcId="191029"/>
</workbook>
</file>

<file path=xl/calcChain.xml><?xml version="1.0" encoding="utf-8"?>
<calcChain xmlns="http://schemas.openxmlformats.org/spreadsheetml/2006/main">
  <c r="H41" i="1" l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G42" i="1" s="1"/>
</calcChain>
</file>

<file path=xl/sharedStrings.xml><?xml version="1.0" encoding="utf-8"?>
<sst xmlns="http://schemas.openxmlformats.org/spreadsheetml/2006/main" count="484" uniqueCount="193">
  <si>
    <t>SushiCode Solutions — Plantilla PERT y ruta crítica (estimaciones preliminares)</t>
  </si>
  <si>
    <t>ID</t>
  </si>
  <si>
    <t>Actividad</t>
  </si>
  <si>
    <t>Predecesoras</t>
  </si>
  <si>
    <t>O (días)</t>
  </si>
  <si>
    <t>M (días)</t>
  </si>
  <si>
    <t>P (días)</t>
  </si>
  <si>
    <t>te = (O+4M+P)/6</t>
  </si>
  <si>
    <t>σ = (P−O)/6</t>
  </si>
  <si>
    <t>Propuso</t>
  </si>
  <si>
    <t>ACT-01</t>
  </si>
  <si>
    <t>Redactar el plan de trabajo y el calendario de entregables (A05 a A07)</t>
  </si>
  <si>
    <t>—</t>
  </si>
  <si>
    <t>ACT-02</t>
  </si>
  <si>
    <t>Configurar el tablero Kanban, las ramas y la estructura del repositorio</t>
  </si>
  <si>
    <t>ACT-03</t>
  </si>
  <si>
    <t>Facilitar planning, dailys, revisión y retrospectiva de los 3 sprints</t>
  </si>
  <si>
    <t>ACT-04</t>
  </si>
  <si>
    <t>Validar el flujo caja-cocina con un encargado de restaurante</t>
  </si>
  <si>
    <t>ACT-05</t>
  </si>
  <si>
    <t>Revisar la documentación de SQLite y de PyQt5 / CustomTkinter</t>
  </si>
  <si>
    <t>ACT-06</t>
  </si>
  <si>
    <t>Diseñar el modelo entidad-relación y el diccionario de datos</t>
  </si>
  <si>
    <t>ACT-04, ACT-05</t>
  </si>
  <si>
    <t>ACT-07</t>
  </si>
  <si>
    <t>Prototipar las pantallas de caja, cocina y administrador</t>
  </si>
  <si>
    <t>ACT-08</t>
  </si>
  <si>
    <t>Definir la arquitectura por capas y la guía de estilo PEP 8</t>
  </si>
  <si>
    <t>ACT-09</t>
  </si>
  <si>
    <t>Crear el script de tablas SQLite y los datos de prueba</t>
  </si>
  <si>
    <t>ACT-10</t>
  </si>
  <si>
    <t>Revisión cruzada y pruebas de base de datos local (SQLite)</t>
  </si>
  <si>
    <t>ACT-11</t>
  </si>
  <si>
    <t>Programar el alta, edición y baja de platillos</t>
  </si>
  <si>
    <t>ACT-10, ACT-07, ACT-08</t>
  </si>
  <si>
    <t>ACT-12</t>
  </si>
  <si>
    <t>Revisión cruzada y pruebas de administración del menú</t>
  </si>
  <si>
    <t>ACT-13</t>
  </si>
  <si>
    <t>Programar el cambio de precio desde una sola pantalla</t>
  </si>
  <si>
    <t>ACT-14</t>
  </si>
  <si>
    <t>Revisión cruzada y pruebas de cambio de precio en un solo lugar</t>
  </si>
  <si>
    <t>ACT-15</t>
  </si>
  <si>
    <t>Programar el registro de pedidos con platillos y cantidades</t>
  </si>
  <si>
    <t>ACT-16</t>
  </si>
  <si>
    <t>Revisión cruzada y pruebas de registro de pedidos</t>
  </si>
  <si>
    <t>ACT-17</t>
  </si>
  <si>
    <t>Programar modificaciones, notas y alergias resaltadas</t>
  </si>
  <si>
    <t>ACT-18</t>
  </si>
  <si>
    <t>Revisión cruzada y pruebas de modificaciones, notas y alergias</t>
  </si>
  <si>
    <t>ACT-19</t>
  </si>
  <si>
    <t>Programar el envío de la comanda a la pantalla de cocina</t>
  </si>
  <si>
    <t>ACT-20</t>
  </si>
  <si>
    <t>Revisión cruzada y pruebas de envío de comanda a cocina</t>
  </si>
  <si>
    <t>ACT-21</t>
  </si>
  <si>
    <t>Programar el inicio de sesión con roles y hash SHA-256</t>
  </si>
  <si>
    <t>ACT-10, ACT-08</t>
  </si>
  <si>
    <t>ACT-22</t>
  </si>
  <si>
    <t>Revisión cruzada y pruebas de inicio de sesión y roles</t>
  </si>
  <si>
    <t>ACT-23</t>
  </si>
  <si>
    <t>Programar la comanda y el ticket electrónicos</t>
  </si>
  <si>
    <t>ACT-24</t>
  </si>
  <si>
    <t>Revisión cruzada y pruebas de comanda y ticket electrónicos</t>
  </si>
  <si>
    <t>ACT-25</t>
  </si>
  <si>
    <t>Programar los estados del pedido (recibido, en preparación, listo)</t>
  </si>
  <si>
    <t>ACT-26</t>
  </si>
  <si>
    <t>Revisión cruzada y pruebas de estados del pedido</t>
  </si>
  <si>
    <t>ACT-27</t>
  </si>
  <si>
    <t>Programar la modificación de pedidos enviados con aviso a cocina</t>
  </si>
  <si>
    <t>ACT-26, ACT-18</t>
  </si>
  <si>
    <t>ACT-28</t>
  </si>
  <si>
    <t>Revisión cruzada y pruebas de modificar un pedido enviado</t>
  </si>
  <si>
    <t>ACT-29</t>
  </si>
  <si>
    <t>Programar el respaldo local y la exportación diaria en CSV y JSON</t>
  </si>
  <si>
    <t>ACT-10, ACT-22</t>
  </si>
  <si>
    <t>ACT-30</t>
  </si>
  <si>
    <t>Revisión cruzada y pruebas de respaldo local y exportación diaria</t>
  </si>
  <si>
    <t>ACT-31</t>
  </si>
  <si>
    <t>Ejecutar las pruebas funcionales con los criterios de aceptación</t>
  </si>
  <si>
    <t>ACT-14, ACT-24, ACT-26, ACT-28</t>
  </si>
  <si>
    <t>ACT-32</t>
  </si>
  <si>
    <t>Medir el tiempo de la comanda y probar la seguridad básica</t>
  </si>
  <si>
    <t>ACT-22, ACT-30, ACT-26</t>
  </si>
  <si>
    <t>ACT-33</t>
  </si>
  <si>
    <t>Aplicar la prueba piloto con 30 pedidos simulados</t>
  </si>
  <si>
    <t>ACT-31, ACT-32</t>
  </si>
  <si>
    <t>ACT-34</t>
  </si>
  <si>
    <t>Corregir los defectos encontrados en las pruebas y el piloto</t>
  </si>
  <si>
    <t>ACT-35</t>
  </si>
  <si>
    <t>Redactar la guía de uso de una página</t>
  </si>
  <si>
    <t>ACT-36</t>
  </si>
  <si>
    <t>Integrar el anteproyecto final</t>
  </si>
  <si>
    <t>ACT-37</t>
  </si>
  <si>
    <t>Preparar la demo y el acta de validación con el interesado</t>
  </si>
  <si>
    <t>ACT-34, ACT-35, ACT-36</t>
  </si>
  <si>
    <t>Cómo usar la plantilla</t>
  </si>
  <si>
    <t>O (optimista): duración si la tarea avanza sin problemas importantes.</t>
  </si>
  <si>
    <t>M (más probable): duración que el equipo considera más realista.</t>
  </si>
  <si>
    <t>P (pesimista): duración si aparecen dificultades o correcciones.</t>
  </si>
  <si>
    <t>te: duración esperada calculada con la fórmula PERT (O + 4M + P) / 6.</t>
  </si>
  <si>
    <t>σ: desviación estándar de la estimación, calculada como (P − O) / 6.</t>
  </si>
  <si>
    <t>Antes de entregar</t>
  </si>
  <si>
    <t>1. Revisar O, M y P con Jesús Emiliano, Ana Patricia, David Omar y Dulce.</t>
  </si>
  <si>
    <t>2. Cambiar la columna «Propuso» para registrar quién propuso cada estimación real.</t>
  </si>
  <si>
    <t>3. No usar la suma de te como duración del proyecto; para eso se calcula la red PERT y la ruta crítica.</t>
  </si>
  <si>
    <t>4. Guardar el Excel en el repositorio y pegar el enlace del commit real en el anexo del A07.</t>
  </si>
  <si>
    <t>Se agregó la hoja “Ruta crítica - sección 4” con IT, FT, ITa, FTa, holgura, marca de actividad crítica, duración total y ruta crítica.</t>
  </si>
  <si>
    <t>Duración esperada total preliminar: 57.70 días hábiles. Validar las estimaciones, responsables y dependencias con el equipo.</t>
  </si>
  <si>
    <t>SushiCode Solutions — Sección 4: cálculo de ruta crítica</t>
  </si>
  <si>
    <t>Cálculos preliminares con las duraciones esperadas (te) redondeadas a dos decimales y las dependencias de la tabla PERT. Confirmar con el equipo.</t>
  </si>
  <si>
    <t>Duración esperada total del proyecto</t>
  </si>
  <si>
    <t>57.70 días hábiles</t>
  </si>
  <si>
    <t>Ruta crítica</t>
  </si>
  <si>
    <t>ACT-01 → ACT-04 → ACT-06 → ACT-09 → ACT-10 → ACT-11 → ACT-12 → ACT-15 → ACT-16 → ACT-19 → ACT-20 → ACT-25 → ACT-26 → ACT-27 → ACT-28 → ACT-31 → ACT-33 → ACT-34 → ACT-37</t>
  </si>
  <si>
    <t>Nota</t>
  </si>
  <si>
    <t>Las actividades críticas tienen holgura igual a 0. Las estimaciones y el resultado son provisionales y deben validarse.</t>
  </si>
  <si>
    <t>te</t>
  </si>
  <si>
    <t>IT</t>
  </si>
  <si>
    <t>FT</t>
  </si>
  <si>
    <t>ITa</t>
  </si>
  <si>
    <t>FTa</t>
  </si>
  <si>
    <t>Holgura (ITa − IT)</t>
  </si>
  <si>
    <t>¿Crítica? (holgura = 0)</t>
  </si>
  <si>
    <t>2.00</t>
  </si>
  <si>
    <t>0.00</t>
  </si>
  <si>
    <t>Sí</t>
  </si>
  <si>
    <t>4.00</t>
  </si>
  <si>
    <t>55.70</t>
  </si>
  <si>
    <t>57.70</t>
  </si>
  <si>
    <t>53.70</t>
  </si>
  <si>
    <t>No</t>
  </si>
  <si>
    <t>3.17</t>
  </si>
  <si>
    <t>5.17</t>
  </si>
  <si>
    <t>54.53</t>
  </si>
  <si>
    <t>52.53</t>
  </si>
  <si>
    <t>2.17</t>
  </si>
  <si>
    <t>4.17</t>
  </si>
  <si>
    <t>0.17</t>
  </si>
  <si>
    <t>7.34</t>
  </si>
  <si>
    <t>8.17</t>
  </si>
  <si>
    <t>8.51</t>
  </si>
  <si>
    <t>12.51</t>
  </si>
  <si>
    <t>4.34</t>
  </si>
  <si>
    <t>6.17</t>
  </si>
  <si>
    <t>10.34</t>
  </si>
  <si>
    <t>6.34</t>
  </si>
  <si>
    <t>10.51</t>
  </si>
  <si>
    <t>17.68</t>
  </si>
  <si>
    <t>19.68</t>
  </si>
  <si>
    <t>22.85</t>
  </si>
  <si>
    <t>39.02</t>
  </si>
  <si>
    <t>42.19</t>
  </si>
  <si>
    <t>19.34</t>
  </si>
  <si>
    <t>24.85</t>
  </si>
  <si>
    <t>44.19</t>
  </si>
  <si>
    <t>26.85</t>
  </si>
  <si>
    <t>30.85</t>
  </si>
  <si>
    <t>32.02</t>
  </si>
  <si>
    <t>36.02</t>
  </si>
  <si>
    <t>32.85</t>
  </si>
  <si>
    <t>38.02</t>
  </si>
  <si>
    <t>16.68</t>
  </si>
  <si>
    <t>33.02</t>
  </si>
  <si>
    <t>37.19</t>
  </si>
  <si>
    <t>20.51</t>
  </si>
  <si>
    <t>18.68</t>
  </si>
  <si>
    <t>39.19</t>
  </si>
  <si>
    <t>36.85</t>
  </si>
  <si>
    <t>38.19</t>
  </si>
  <si>
    <t>5.34</t>
  </si>
  <si>
    <t>38.85</t>
  </si>
  <si>
    <t>22.68</t>
  </si>
  <si>
    <t>43.19</t>
  </si>
  <si>
    <t>24.68</t>
  </si>
  <si>
    <t>45.19</t>
  </si>
  <si>
    <t>48.19</t>
  </si>
  <si>
    <t>3.00</t>
  </si>
  <si>
    <t>41.02</t>
  </si>
  <si>
    <t>7.17</t>
  </si>
  <si>
    <t>51.36</t>
  </si>
  <si>
    <t>55.53</t>
  </si>
  <si>
    <t>53.36</t>
  </si>
  <si>
    <t>53.53</t>
  </si>
  <si>
    <t>52.36</t>
  </si>
  <si>
    <t>1.00</t>
  </si>
  <si>
    <t xml:space="preserve">Dulce Sarahí Macías </t>
  </si>
  <si>
    <t>Jesús Emiliano Cortés</t>
  </si>
  <si>
    <t xml:space="preserve">Ana Patricia Corral </t>
  </si>
  <si>
    <t>David Omar Luna Terán</t>
  </si>
  <si>
    <t>Dulce Sarahí Macías</t>
  </si>
  <si>
    <t xml:space="preserve">David Omar Luna Terán </t>
  </si>
  <si>
    <t xml:space="preserve">Jesús Emiliano Cortés </t>
  </si>
  <si>
    <t>Ana Patricia Corral</t>
  </si>
  <si>
    <t>Total de duración esperada: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</si>
</sst>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9C0006"/>
      <name val="Calibri"/>
    </font>
    <font>
      <b/>
      <sz val="11"/>
      <color rgb="FFFFFFFF"/>
      <name val="Calibri"/>
    </font>
    <font>
      <b/>
      <sz val="11"/>
      <name val="Calibri"/>
    </font>
    <font>
      <i/>
      <sz val="10"/>
      <color rgb="FF666666"/>
      <name val="Calibri"/>
    </font>
    <font>
      <b/>
      <sz val="11"/>
      <color rgb="FF1F4E78"/>
      <name val="Calibri"/>
    </font>
    <font>
      <b/>
      <sz val="11"/>
      <color rgb="FF9C000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3F6F9"/>
      </patternFill>
    </fill>
    <fill>
      <patternFill patternType="solid">
        <fgColor rgb="FFFCE4D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top" wrapText="1"/>
    </xf>
    <xf numFmtId="2" fontId="0" fillId="4" borderId="1" xfId="0" applyNumberForma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2" fontId="0" fillId="6" borderId="1" xfId="0" applyNumberForma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6" fillId="0" borderId="0" xfId="0" applyFont="1"/>
    <xf numFmtId="0" fontId="3" fillId="3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pane ySplit="4" topLeftCell="A35" activePane="bottomLeft" state="frozen"/>
      <selection pane="bottomLeft" activeCell="A2" sqref="A2:I2"/>
    </sheetView>
  </sheetViews>
  <sheetFormatPr baseColWidth="10" defaultColWidth="9.140625" defaultRowHeight="15" x14ac:dyDescent="0.25"/>
  <cols>
    <col min="1" max="1" width="13" customWidth="1"/>
    <col min="2" max="2" width="58" customWidth="1"/>
    <col min="3" max="3" width="16" customWidth="1"/>
    <col min="4" max="6" width="12" customWidth="1"/>
    <col min="7" max="7" width="18" customWidth="1"/>
    <col min="8" max="8" width="16" customWidth="1"/>
    <col min="9" max="9" width="40" customWidth="1"/>
  </cols>
  <sheetData>
    <row r="1" spans="1:9" ht="26.1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</row>
    <row r="2" spans="1:9" ht="32.1" customHeight="1" x14ac:dyDescent="0.25">
      <c r="A2" s="19"/>
      <c r="B2" s="18"/>
      <c r="C2" s="18"/>
      <c r="D2" s="18"/>
      <c r="E2" s="18"/>
      <c r="F2" s="18"/>
      <c r="G2" s="18"/>
      <c r="H2" s="18"/>
      <c r="I2" s="18"/>
    </row>
    <row r="4" spans="1:9" ht="38.1" customHeight="1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32.1" customHeight="1" x14ac:dyDescent="0.25">
      <c r="A5" s="5" t="s">
        <v>10</v>
      </c>
      <c r="B5" s="5" t="s">
        <v>11</v>
      </c>
      <c r="C5" s="5" t="s">
        <v>12</v>
      </c>
      <c r="D5" s="5">
        <v>1</v>
      </c>
      <c r="E5" s="5">
        <v>2</v>
      </c>
      <c r="F5" s="5">
        <v>3</v>
      </c>
      <c r="G5" s="6">
        <f t="shared" ref="G5:G41" si="0">(D5+4*E5+F5)/6</f>
        <v>2</v>
      </c>
      <c r="H5" s="6">
        <f t="shared" ref="H5:H41" si="1">(F5-D5)/6</f>
        <v>0.33333333333333331</v>
      </c>
      <c r="I5" s="5" t="s">
        <v>184</v>
      </c>
    </row>
    <row r="6" spans="1:9" ht="32.1" customHeight="1" x14ac:dyDescent="0.25">
      <c r="A6" s="7" t="s">
        <v>13</v>
      </c>
      <c r="B6" s="7" t="s">
        <v>14</v>
      </c>
      <c r="C6" s="7" t="s">
        <v>10</v>
      </c>
      <c r="D6" s="7">
        <v>1</v>
      </c>
      <c r="E6" s="7">
        <v>2</v>
      </c>
      <c r="F6" s="7">
        <v>3</v>
      </c>
      <c r="G6" s="8">
        <f t="shared" si="0"/>
        <v>2</v>
      </c>
      <c r="H6" s="8">
        <f t="shared" si="1"/>
        <v>0.33333333333333331</v>
      </c>
      <c r="I6" s="7" t="s">
        <v>185</v>
      </c>
    </row>
    <row r="7" spans="1:9" ht="32.1" customHeight="1" x14ac:dyDescent="0.25">
      <c r="A7" s="5" t="s">
        <v>15</v>
      </c>
      <c r="B7" s="5" t="s">
        <v>16</v>
      </c>
      <c r="C7" s="5" t="s">
        <v>10</v>
      </c>
      <c r="D7" s="5">
        <v>2</v>
      </c>
      <c r="E7" s="5">
        <v>3</v>
      </c>
      <c r="F7" s="5">
        <v>5</v>
      </c>
      <c r="G7" s="6">
        <f t="shared" si="0"/>
        <v>3.1666666666666665</v>
      </c>
      <c r="H7" s="6">
        <f t="shared" si="1"/>
        <v>0.5</v>
      </c>
      <c r="I7" s="5" t="s">
        <v>186</v>
      </c>
    </row>
    <row r="8" spans="1:9" ht="32.1" customHeight="1" x14ac:dyDescent="0.25">
      <c r="A8" s="7" t="s">
        <v>17</v>
      </c>
      <c r="B8" s="7" t="s">
        <v>18</v>
      </c>
      <c r="C8" s="7" t="s">
        <v>10</v>
      </c>
      <c r="D8" s="7">
        <v>1</v>
      </c>
      <c r="E8" s="7">
        <v>2</v>
      </c>
      <c r="F8" s="7">
        <v>4</v>
      </c>
      <c r="G8" s="8">
        <f t="shared" si="0"/>
        <v>2.1666666666666665</v>
      </c>
      <c r="H8" s="8">
        <f t="shared" si="1"/>
        <v>0.5</v>
      </c>
      <c r="I8" s="7" t="s">
        <v>187</v>
      </c>
    </row>
    <row r="9" spans="1:9" ht="32.1" customHeight="1" x14ac:dyDescent="0.25">
      <c r="A9" s="5" t="s">
        <v>19</v>
      </c>
      <c r="B9" s="5" t="s">
        <v>20</v>
      </c>
      <c r="C9" s="5" t="s">
        <v>10</v>
      </c>
      <c r="D9" s="5">
        <v>1</v>
      </c>
      <c r="E9" s="5">
        <v>2</v>
      </c>
      <c r="F9" s="5">
        <v>3</v>
      </c>
      <c r="G9" s="6">
        <f t="shared" si="0"/>
        <v>2</v>
      </c>
      <c r="H9" s="6">
        <f t="shared" si="1"/>
        <v>0.33333333333333331</v>
      </c>
      <c r="I9" s="5" t="s">
        <v>188</v>
      </c>
    </row>
    <row r="10" spans="1:9" ht="32.1" customHeight="1" x14ac:dyDescent="0.25">
      <c r="A10" s="7" t="s">
        <v>21</v>
      </c>
      <c r="B10" s="7" t="s">
        <v>22</v>
      </c>
      <c r="C10" s="7" t="s">
        <v>23</v>
      </c>
      <c r="D10" s="7">
        <v>2</v>
      </c>
      <c r="E10" s="7">
        <v>3</v>
      </c>
      <c r="F10" s="7">
        <v>5</v>
      </c>
      <c r="G10" s="8">
        <f t="shared" si="0"/>
        <v>3.1666666666666665</v>
      </c>
      <c r="H10" s="8">
        <f t="shared" si="1"/>
        <v>0.5</v>
      </c>
      <c r="I10" s="7" t="s">
        <v>185</v>
      </c>
    </row>
    <row r="11" spans="1:9" ht="32.1" customHeight="1" x14ac:dyDescent="0.25">
      <c r="A11" s="5" t="s">
        <v>24</v>
      </c>
      <c r="B11" s="5" t="s">
        <v>25</v>
      </c>
      <c r="C11" s="5" t="s">
        <v>17</v>
      </c>
      <c r="D11" s="5">
        <v>2</v>
      </c>
      <c r="E11" s="5">
        <v>4</v>
      </c>
      <c r="F11" s="5">
        <v>6</v>
      </c>
      <c r="G11" s="6">
        <f t="shared" si="0"/>
        <v>4</v>
      </c>
      <c r="H11" s="6">
        <f t="shared" si="1"/>
        <v>0.66666666666666663</v>
      </c>
      <c r="I11" s="5" t="s">
        <v>186</v>
      </c>
    </row>
    <row r="12" spans="1:9" ht="32.1" customHeight="1" x14ac:dyDescent="0.25">
      <c r="A12" s="7" t="s">
        <v>26</v>
      </c>
      <c r="B12" s="7" t="s">
        <v>27</v>
      </c>
      <c r="C12" s="7" t="s">
        <v>19</v>
      </c>
      <c r="D12" s="7">
        <v>1</v>
      </c>
      <c r="E12" s="7">
        <v>2</v>
      </c>
      <c r="F12" s="7">
        <v>4</v>
      </c>
      <c r="G12" s="8">
        <f t="shared" si="0"/>
        <v>2.1666666666666665</v>
      </c>
      <c r="H12" s="8">
        <f t="shared" si="1"/>
        <v>0.5</v>
      </c>
      <c r="I12" s="7" t="s">
        <v>189</v>
      </c>
    </row>
    <row r="13" spans="1:9" ht="32.1" customHeight="1" x14ac:dyDescent="0.25">
      <c r="A13" s="5" t="s">
        <v>28</v>
      </c>
      <c r="B13" s="5" t="s">
        <v>29</v>
      </c>
      <c r="C13" s="5" t="s">
        <v>21</v>
      </c>
      <c r="D13" s="5">
        <v>2</v>
      </c>
      <c r="E13" s="5">
        <v>3</v>
      </c>
      <c r="F13" s="5">
        <v>5</v>
      </c>
      <c r="G13" s="6">
        <f t="shared" si="0"/>
        <v>3.1666666666666665</v>
      </c>
      <c r="H13" s="6">
        <f t="shared" si="1"/>
        <v>0.5</v>
      </c>
      <c r="I13" s="5" t="s">
        <v>184</v>
      </c>
    </row>
    <row r="14" spans="1:9" ht="32.1" customHeight="1" x14ac:dyDescent="0.25">
      <c r="A14" s="7" t="s">
        <v>30</v>
      </c>
      <c r="B14" s="7" t="s">
        <v>31</v>
      </c>
      <c r="C14" s="7" t="s">
        <v>28</v>
      </c>
      <c r="D14" s="7">
        <v>1</v>
      </c>
      <c r="E14" s="7">
        <v>2</v>
      </c>
      <c r="F14" s="7">
        <v>3</v>
      </c>
      <c r="G14" s="8">
        <f t="shared" si="0"/>
        <v>2</v>
      </c>
      <c r="H14" s="8">
        <f t="shared" si="1"/>
        <v>0.33333333333333331</v>
      </c>
      <c r="I14" s="7" t="s">
        <v>190</v>
      </c>
    </row>
    <row r="15" spans="1:9" ht="32.1" customHeight="1" x14ac:dyDescent="0.25">
      <c r="A15" s="5" t="s">
        <v>32</v>
      </c>
      <c r="B15" s="5" t="s">
        <v>33</v>
      </c>
      <c r="C15" s="5" t="s">
        <v>34</v>
      </c>
      <c r="D15" s="5">
        <v>3</v>
      </c>
      <c r="E15" s="5">
        <v>5</v>
      </c>
      <c r="F15" s="5">
        <v>8</v>
      </c>
      <c r="G15" s="6">
        <f t="shared" si="0"/>
        <v>5.166666666666667</v>
      </c>
      <c r="H15" s="6">
        <f t="shared" si="1"/>
        <v>0.83333333333333337</v>
      </c>
      <c r="I15" s="5" t="s">
        <v>186</v>
      </c>
    </row>
    <row r="16" spans="1:9" ht="32.1" customHeight="1" x14ac:dyDescent="0.25">
      <c r="A16" s="7" t="s">
        <v>35</v>
      </c>
      <c r="B16" s="7" t="s">
        <v>36</v>
      </c>
      <c r="C16" s="7" t="s">
        <v>32</v>
      </c>
      <c r="D16" s="7">
        <v>1</v>
      </c>
      <c r="E16" s="7">
        <v>2</v>
      </c>
      <c r="F16" s="7">
        <v>3</v>
      </c>
      <c r="G16" s="8">
        <f t="shared" si="0"/>
        <v>2</v>
      </c>
      <c r="H16" s="8">
        <f t="shared" si="1"/>
        <v>0.33333333333333331</v>
      </c>
      <c r="I16" s="7" t="s">
        <v>189</v>
      </c>
    </row>
    <row r="17" spans="1:9" ht="32.1" customHeight="1" x14ac:dyDescent="0.25">
      <c r="A17" s="5" t="s">
        <v>37</v>
      </c>
      <c r="B17" s="5" t="s">
        <v>38</v>
      </c>
      <c r="C17" s="5" t="s">
        <v>35</v>
      </c>
      <c r="D17" s="5">
        <v>2</v>
      </c>
      <c r="E17" s="5">
        <v>3</v>
      </c>
      <c r="F17" s="5">
        <v>5</v>
      </c>
      <c r="G17" s="6">
        <f t="shared" si="0"/>
        <v>3.1666666666666665</v>
      </c>
      <c r="H17" s="6">
        <f t="shared" si="1"/>
        <v>0.5</v>
      </c>
      <c r="I17" s="5" t="s">
        <v>188</v>
      </c>
    </row>
    <row r="18" spans="1:9" ht="32.1" customHeight="1" x14ac:dyDescent="0.25">
      <c r="A18" s="7" t="s">
        <v>39</v>
      </c>
      <c r="B18" s="7" t="s">
        <v>40</v>
      </c>
      <c r="C18" s="7" t="s">
        <v>37</v>
      </c>
      <c r="D18" s="7">
        <v>1</v>
      </c>
      <c r="E18" s="7">
        <v>2</v>
      </c>
      <c r="F18" s="7">
        <v>3</v>
      </c>
      <c r="G18" s="8">
        <f t="shared" si="0"/>
        <v>2</v>
      </c>
      <c r="H18" s="8">
        <f t="shared" si="1"/>
        <v>0.33333333333333331</v>
      </c>
      <c r="I18" s="7" t="s">
        <v>190</v>
      </c>
    </row>
    <row r="19" spans="1:9" ht="32.1" customHeight="1" x14ac:dyDescent="0.25">
      <c r="A19" s="5" t="s">
        <v>41</v>
      </c>
      <c r="B19" s="5" t="s">
        <v>42</v>
      </c>
      <c r="C19" s="5" t="s">
        <v>35</v>
      </c>
      <c r="D19" s="5">
        <v>3</v>
      </c>
      <c r="E19" s="5">
        <v>5</v>
      </c>
      <c r="F19" s="5">
        <v>8</v>
      </c>
      <c r="G19" s="6">
        <f t="shared" si="0"/>
        <v>5.166666666666667</v>
      </c>
      <c r="H19" s="6">
        <f t="shared" si="1"/>
        <v>0.83333333333333337</v>
      </c>
      <c r="I19" s="5" t="s">
        <v>191</v>
      </c>
    </row>
    <row r="20" spans="1:9" ht="32.1" customHeight="1" x14ac:dyDescent="0.25">
      <c r="A20" s="7" t="s">
        <v>43</v>
      </c>
      <c r="B20" s="7" t="s">
        <v>44</v>
      </c>
      <c r="C20" s="7" t="s">
        <v>41</v>
      </c>
      <c r="D20" s="7">
        <v>1</v>
      </c>
      <c r="E20" s="7">
        <v>2</v>
      </c>
      <c r="F20" s="7">
        <v>3</v>
      </c>
      <c r="G20" s="8">
        <f t="shared" si="0"/>
        <v>2</v>
      </c>
      <c r="H20" s="8">
        <f t="shared" si="1"/>
        <v>0.33333333333333331</v>
      </c>
      <c r="I20" s="7" t="s">
        <v>189</v>
      </c>
    </row>
    <row r="21" spans="1:9" ht="32.1" customHeight="1" x14ac:dyDescent="0.25">
      <c r="A21" s="5" t="s">
        <v>45</v>
      </c>
      <c r="B21" s="5" t="s">
        <v>46</v>
      </c>
      <c r="C21" s="5" t="s">
        <v>43</v>
      </c>
      <c r="D21" s="5">
        <v>2</v>
      </c>
      <c r="E21" s="5">
        <v>4</v>
      </c>
      <c r="F21" s="5">
        <v>6</v>
      </c>
      <c r="G21" s="6">
        <f t="shared" si="0"/>
        <v>4</v>
      </c>
      <c r="H21" s="6">
        <f t="shared" si="1"/>
        <v>0.66666666666666663</v>
      </c>
      <c r="I21" s="5" t="s">
        <v>184</v>
      </c>
    </row>
    <row r="22" spans="1:9" ht="32.1" customHeight="1" x14ac:dyDescent="0.25">
      <c r="A22" s="7" t="s">
        <v>47</v>
      </c>
      <c r="B22" s="7" t="s">
        <v>48</v>
      </c>
      <c r="C22" s="7" t="s">
        <v>45</v>
      </c>
      <c r="D22" s="7">
        <v>1</v>
      </c>
      <c r="E22" s="7">
        <v>2</v>
      </c>
      <c r="F22" s="7">
        <v>3</v>
      </c>
      <c r="G22" s="8">
        <f t="shared" si="0"/>
        <v>2</v>
      </c>
      <c r="H22" s="8">
        <f t="shared" si="1"/>
        <v>0.33333333333333331</v>
      </c>
      <c r="I22" s="7" t="s">
        <v>190</v>
      </c>
    </row>
    <row r="23" spans="1:9" ht="32.1" customHeight="1" x14ac:dyDescent="0.25">
      <c r="A23" s="5" t="s">
        <v>49</v>
      </c>
      <c r="B23" s="5" t="s">
        <v>50</v>
      </c>
      <c r="C23" s="5" t="s">
        <v>43</v>
      </c>
      <c r="D23" s="5">
        <v>2</v>
      </c>
      <c r="E23" s="5">
        <v>4</v>
      </c>
      <c r="F23" s="5">
        <v>6</v>
      </c>
      <c r="G23" s="6">
        <f t="shared" si="0"/>
        <v>4</v>
      </c>
      <c r="H23" s="6">
        <f t="shared" si="1"/>
        <v>0.66666666666666663</v>
      </c>
      <c r="I23" s="5" t="s">
        <v>191</v>
      </c>
    </row>
    <row r="24" spans="1:9" ht="32.1" customHeight="1" x14ac:dyDescent="0.25">
      <c r="A24" s="7" t="s">
        <v>51</v>
      </c>
      <c r="B24" s="7" t="s">
        <v>52</v>
      </c>
      <c r="C24" s="7" t="s">
        <v>49</v>
      </c>
      <c r="D24" s="7">
        <v>1</v>
      </c>
      <c r="E24" s="7">
        <v>2</v>
      </c>
      <c r="F24" s="7">
        <v>3</v>
      </c>
      <c r="G24" s="8">
        <f t="shared" si="0"/>
        <v>2</v>
      </c>
      <c r="H24" s="8">
        <f t="shared" si="1"/>
        <v>0.33333333333333331</v>
      </c>
      <c r="I24" s="7" t="s">
        <v>187</v>
      </c>
    </row>
    <row r="25" spans="1:9" ht="32.1" customHeight="1" x14ac:dyDescent="0.25">
      <c r="A25" s="5" t="s">
        <v>53</v>
      </c>
      <c r="B25" s="5" t="s">
        <v>54</v>
      </c>
      <c r="C25" s="5" t="s">
        <v>55</v>
      </c>
      <c r="D25" s="5">
        <v>2</v>
      </c>
      <c r="E25" s="5">
        <v>4</v>
      </c>
      <c r="F25" s="5">
        <v>7</v>
      </c>
      <c r="G25" s="6">
        <f t="shared" si="0"/>
        <v>4.166666666666667</v>
      </c>
      <c r="H25" s="6">
        <f t="shared" si="1"/>
        <v>0.83333333333333337</v>
      </c>
      <c r="I25" s="5" t="s">
        <v>184</v>
      </c>
    </row>
    <row r="26" spans="1:9" ht="32.1" customHeight="1" x14ac:dyDescent="0.25">
      <c r="A26" s="7" t="s">
        <v>56</v>
      </c>
      <c r="B26" s="7" t="s">
        <v>57</v>
      </c>
      <c r="C26" s="7" t="s">
        <v>53</v>
      </c>
      <c r="D26" s="7">
        <v>1</v>
      </c>
      <c r="E26" s="7">
        <v>2</v>
      </c>
      <c r="F26" s="7">
        <v>3</v>
      </c>
      <c r="G26" s="8">
        <f t="shared" si="0"/>
        <v>2</v>
      </c>
      <c r="H26" s="8">
        <f t="shared" si="1"/>
        <v>0.33333333333333331</v>
      </c>
      <c r="I26" s="7" t="s">
        <v>185</v>
      </c>
    </row>
    <row r="27" spans="1:9" ht="32.1" customHeight="1" x14ac:dyDescent="0.25">
      <c r="A27" s="5" t="s">
        <v>58</v>
      </c>
      <c r="B27" s="5" t="s">
        <v>59</v>
      </c>
      <c r="C27" s="5" t="s">
        <v>51</v>
      </c>
      <c r="D27" s="5">
        <v>2</v>
      </c>
      <c r="E27" s="5">
        <v>4</v>
      </c>
      <c r="F27" s="5">
        <v>6</v>
      </c>
      <c r="G27" s="6">
        <f t="shared" si="0"/>
        <v>4</v>
      </c>
      <c r="H27" s="6">
        <f t="shared" si="1"/>
        <v>0.66666666666666663</v>
      </c>
      <c r="I27" s="5" t="s">
        <v>186</v>
      </c>
    </row>
    <row r="28" spans="1:9" ht="32.1" customHeight="1" x14ac:dyDescent="0.25">
      <c r="A28" s="7" t="s">
        <v>60</v>
      </c>
      <c r="B28" s="7" t="s">
        <v>61</v>
      </c>
      <c r="C28" s="7" t="s">
        <v>58</v>
      </c>
      <c r="D28" s="7">
        <v>1</v>
      </c>
      <c r="E28" s="7">
        <v>2</v>
      </c>
      <c r="F28" s="7">
        <v>3</v>
      </c>
      <c r="G28" s="8">
        <f t="shared" si="0"/>
        <v>2</v>
      </c>
      <c r="H28" s="8">
        <f t="shared" si="1"/>
        <v>0.33333333333333331</v>
      </c>
      <c r="I28" s="7" t="s">
        <v>187</v>
      </c>
    </row>
    <row r="29" spans="1:9" ht="32.1" customHeight="1" x14ac:dyDescent="0.25">
      <c r="A29" s="5" t="s">
        <v>62</v>
      </c>
      <c r="B29" s="5" t="s">
        <v>63</v>
      </c>
      <c r="C29" s="5" t="s">
        <v>51</v>
      </c>
      <c r="D29" s="5">
        <v>2</v>
      </c>
      <c r="E29" s="5">
        <v>3</v>
      </c>
      <c r="F29" s="5">
        <v>5</v>
      </c>
      <c r="G29" s="6">
        <f t="shared" si="0"/>
        <v>3.1666666666666665</v>
      </c>
      <c r="H29" s="6">
        <f t="shared" si="1"/>
        <v>0.5</v>
      </c>
      <c r="I29" s="5" t="s">
        <v>188</v>
      </c>
    </row>
    <row r="30" spans="1:9" ht="32.1" customHeight="1" x14ac:dyDescent="0.25">
      <c r="A30" s="7" t="s">
        <v>64</v>
      </c>
      <c r="B30" s="7" t="s">
        <v>65</v>
      </c>
      <c r="C30" s="7" t="s">
        <v>62</v>
      </c>
      <c r="D30" s="7">
        <v>1</v>
      </c>
      <c r="E30" s="7">
        <v>2</v>
      </c>
      <c r="F30" s="7">
        <v>3</v>
      </c>
      <c r="G30" s="8">
        <f t="shared" si="0"/>
        <v>2</v>
      </c>
      <c r="H30" s="8">
        <f t="shared" si="1"/>
        <v>0.33333333333333331</v>
      </c>
      <c r="I30" s="7" t="s">
        <v>185</v>
      </c>
    </row>
    <row r="31" spans="1:9" ht="32.1" customHeight="1" x14ac:dyDescent="0.25">
      <c r="A31" s="5" t="s">
        <v>66</v>
      </c>
      <c r="B31" s="5" t="s">
        <v>67</v>
      </c>
      <c r="C31" s="5" t="s">
        <v>68</v>
      </c>
      <c r="D31" s="5">
        <v>2</v>
      </c>
      <c r="E31" s="5">
        <v>4</v>
      </c>
      <c r="F31" s="5">
        <v>7</v>
      </c>
      <c r="G31" s="6">
        <f t="shared" si="0"/>
        <v>4.166666666666667</v>
      </c>
      <c r="H31" s="6">
        <f t="shared" si="1"/>
        <v>0.83333333333333337</v>
      </c>
      <c r="I31" s="5" t="s">
        <v>191</v>
      </c>
    </row>
    <row r="32" spans="1:9" ht="32.1" customHeight="1" x14ac:dyDescent="0.25">
      <c r="A32" s="7" t="s">
        <v>69</v>
      </c>
      <c r="B32" s="7" t="s">
        <v>70</v>
      </c>
      <c r="C32" s="7" t="s">
        <v>66</v>
      </c>
      <c r="D32" s="7">
        <v>1</v>
      </c>
      <c r="E32" s="7">
        <v>2</v>
      </c>
      <c r="F32" s="7">
        <v>3</v>
      </c>
      <c r="G32" s="8">
        <f t="shared" si="0"/>
        <v>2</v>
      </c>
      <c r="H32" s="8">
        <f t="shared" si="1"/>
        <v>0.33333333333333331</v>
      </c>
      <c r="I32" s="7" t="s">
        <v>189</v>
      </c>
    </row>
    <row r="33" spans="1:9" ht="32.1" customHeight="1" x14ac:dyDescent="0.25">
      <c r="A33" s="5" t="s">
        <v>71</v>
      </c>
      <c r="B33" s="5" t="s">
        <v>72</v>
      </c>
      <c r="C33" s="5" t="s">
        <v>73</v>
      </c>
      <c r="D33" s="5">
        <v>2</v>
      </c>
      <c r="E33" s="5">
        <v>4</v>
      </c>
      <c r="F33" s="5">
        <v>6</v>
      </c>
      <c r="G33" s="6">
        <f t="shared" si="0"/>
        <v>4</v>
      </c>
      <c r="H33" s="6">
        <f t="shared" si="1"/>
        <v>0.66666666666666663</v>
      </c>
      <c r="I33" s="5" t="s">
        <v>188</v>
      </c>
    </row>
    <row r="34" spans="1:9" ht="32.1" customHeight="1" x14ac:dyDescent="0.25">
      <c r="A34" s="7" t="s">
        <v>74</v>
      </c>
      <c r="B34" s="7" t="s">
        <v>75</v>
      </c>
      <c r="C34" s="7" t="s">
        <v>71</v>
      </c>
      <c r="D34" s="7">
        <v>1</v>
      </c>
      <c r="E34" s="7">
        <v>2</v>
      </c>
      <c r="F34" s="7">
        <v>3</v>
      </c>
      <c r="G34" s="8">
        <f t="shared" si="0"/>
        <v>2</v>
      </c>
      <c r="H34" s="8">
        <f t="shared" si="1"/>
        <v>0.33333333333333331</v>
      </c>
      <c r="I34" s="7" t="s">
        <v>185</v>
      </c>
    </row>
    <row r="35" spans="1:9" ht="32.1" customHeight="1" x14ac:dyDescent="0.25">
      <c r="A35" s="5" t="s">
        <v>76</v>
      </c>
      <c r="B35" s="5" t="s">
        <v>77</v>
      </c>
      <c r="C35" s="5" t="s">
        <v>78</v>
      </c>
      <c r="D35" s="5">
        <v>2</v>
      </c>
      <c r="E35" s="5">
        <v>4</v>
      </c>
      <c r="F35" s="5">
        <v>6</v>
      </c>
      <c r="G35" s="6">
        <f t="shared" si="0"/>
        <v>4</v>
      </c>
      <c r="H35" s="6">
        <f t="shared" si="1"/>
        <v>0.66666666666666663</v>
      </c>
      <c r="I35" s="5" t="s">
        <v>191</v>
      </c>
    </row>
    <row r="36" spans="1:9" ht="32.1" customHeight="1" x14ac:dyDescent="0.25">
      <c r="A36" s="7" t="s">
        <v>79</v>
      </c>
      <c r="B36" s="7" t="s">
        <v>80</v>
      </c>
      <c r="C36" s="7" t="s">
        <v>81</v>
      </c>
      <c r="D36" s="7">
        <v>1</v>
      </c>
      <c r="E36" s="7">
        <v>3</v>
      </c>
      <c r="F36" s="7">
        <v>5</v>
      </c>
      <c r="G36" s="8">
        <f t="shared" si="0"/>
        <v>3</v>
      </c>
      <c r="H36" s="8">
        <f t="shared" si="1"/>
        <v>0.66666666666666663</v>
      </c>
      <c r="I36" s="7" t="s">
        <v>187</v>
      </c>
    </row>
    <row r="37" spans="1:9" ht="32.1" customHeight="1" x14ac:dyDescent="0.25">
      <c r="A37" s="5" t="s">
        <v>82</v>
      </c>
      <c r="B37" s="5" t="s">
        <v>83</v>
      </c>
      <c r="C37" s="5" t="s">
        <v>84</v>
      </c>
      <c r="D37" s="5">
        <v>2</v>
      </c>
      <c r="E37" s="5">
        <v>3</v>
      </c>
      <c r="F37" s="5">
        <v>5</v>
      </c>
      <c r="G37" s="6">
        <f t="shared" si="0"/>
        <v>3.1666666666666665</v>
      </c>
      <c r="H37" s="6">
        <f t="shared" si="1"/>
        <v>0.5</v>
      </c>
      <c r="I37" s="5" t="s">
        <v>184</v>
      </c>
    </row>
    <row r="38" spans="1:9" ht="32.1" customHeight="1" x14ac:dyDescent="0.25">
      <c r="A38" s="7" t="s">
        <v>85</v>
      </c>
      <c r="B38" s="7" t="s">
        <v>86</v>
      </c>
      <c r="C38" s="7" t="s">
        <v>82</v>
      </c>
      <c r="D38" s="7">
        <v>2</v>
      </c>
      <c r="E38" s="7">
        <v>4</v>
      </c>
      <c r="F38" s="7">
        <v>7</v>
      </c>
      <c r="G38" s="8">
        <f t="shared" si="0"/>
        <v>4.166666666666667</v>
      </c>
      <c r="H38" s="8">
        <f t="shared" si="1"/>
        <v>0.83333333333333337</v>
      </c>
      <c r="I38" s="7" t="s">
        <v>185</v>
      </c>
    </row>
    <row r="39" spans="1:9" ht="32.1" customHeight="1" x14ac:dyDescent="0.25">
      <c r="A39" s="5" t="s">
        <v>87</v>
      </c>
      <c r="B39" s="5" t="s">
        <v>88</v>
      </c>
      <c r="C39" s="5" t="s">
        <v>82</v>
      </c>
      <c r="D39" s="5">
        <v>1</v>
      </c>
      <c r="E39" s="5">
        <v>2</v>
      </c>
      <c r="F39" s="5">
        <v>3</v>
      </c>
      <c r="G39" s="6">
        <f t="shared" si="0"/>
        <v>2</v>
      </c>
      <c r="H39" s="6">
        <f t="shared" si="1"/>
        <v>0.33333333333333331</v>
      </c>
      <c r="I39" s="5" t="s">
        <v>191</v>
      </c>
    </row>
    <row r="40" spans="1:9" ht="32.1" customHeight="1" x14ac:dyDescent="0.25">
      <c r="A40" s="7" t="s">
        <v>89</v>
      </c>
      <c r="B40" s="7" t="s">
        <v>90</v>
      </c>
      <c r="C40" s="7" t="s">
        <v>82</v>
      </c>
      <c r="D40" s="7">
        <v>2</v>
      </c>
      <c r="E40" s="7">
        <v>3</v>
      </c>
      <c r="F40" s="7">
        <v>5</v>
      </c>
      <c r="G40" s="8">
        <f t="shared" si="0"/>
        <v>3.1666666666666665</v>
      </c>
      <c r="H40" s="8">
        <f t="shared" si="1"/>
        <v>0.5</v>
      </c>
      <c r="I40" s="7" t="s">
        <v>187</v>
      </c>
    </row>
    <row r="41" spans="1:9" ht="32.1" customHeight="1" x14ac:dyDescent="0.25">
      <c r="A41" s="5" t="s">
        <v>91</v>
      </c>
      <c r="B41" s="5" t="s">
        <v>92</v>
      </c>
      <c r="C41" s="5" t="s">
        <v>93</v>
      </c>
      <c r="D41" s="5">
        <v>1</v>
      </c>
      <c r="E41" s="5">
        <v>2</v>
      </c>
      <c r="F41" s="5">
        <v>4</v>
      </c>
      <c r="G41" s="6">
        <f t="shared" si="0"/>
        <v>2.1666666666666665</v>
      </c>
      <c r="H41" s="6">
        <f t="shared" si="1"/>
        <v>0.5</v>
      </c>
      <c r="I41" s="5" t="s">
        <v>184</v>
      </c>
    </row>
    <row r="42" spans="1:9" ht="32.1" customHeight="1" x14ac:dyDescent="0.25">
      <c r="A42" s="9"/>
      <c r="B42" s="9" t="s">
        <v>192</v>
      </c>
      <c r="C42" s="9"/>
      <c r="D42" s="9"/>
      <c r="E42" s="9"/>
      <c r="F42" s="9"/>
      <c r="G42" s="9">
        <f>SUM(G5:G41)</f>
        <v>108.50000000000003</v>
      </c>
      <c r="H42" s="9"/>
      <c r="I42" s="9"/>
    </row>
  </sheetData>
  <autoFilter ref="A4:I42" xr:uid="{00000000-0009-0000-0000-000000000000}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baseColWidth="10" defaultColWidth="9.140625" defaultRowHeight="15" x14ac:dyDescent="0.25"/>
  <cols>
    <col min="1" max="1" width="110" customWidth="1"/>
  </cols>
  <sheetData>
    <row r="1" spans="1:1" ht="18.75" x14ac:dyDescent="0.3">
      <c r="A1" s="1" t="s">
        <v>94</v>
      </c>
    </row>
    <row r="2" spans="1:1" ht="27.95" customHeight="1" x14ac:dyDescent="0.25">
      <c r="A2" s="2" t="s">
        <v>95</v>
      </c>
    </row>
    <row r="3" spans="1:1" ht="27.95" customHeight="1" x14ac:dyDescent="0.25">
      <c r="A3" s="2" t="s">
        <v>96</v>
      </c>
    </row>
    <row r="4" spans="1:1" ht="27.95" customHeight="1" x14ac:dyDescent="0.25">
      <c r="A4" s="2" t="s">
        <v>97</v>
      </c>
    </row>
    <row r="5" spans="1:1" ht="27.95" customHeight="1" x14ac:dyDescent="0.25">
      <c r="A5" s="2" t="s">
        <v>98</v>
      </c>
    </row>
    <row r="6" spans="1:1" ht="27.95" customHeight="1" x14ac:dyDescent="0.25">
      <c r="A6" s="2" t="s">
        <v>99</v>
      </c>
    </row>
    <row r="7" spans="1:1" ht="27.95" customHeight="1" x14ac:dyDescent="0.25">
      <c r="A7" s="2"/>
    </row>
    <row r="8" spans="1:1" ht="27.95" customHeight="1" x14ac:dyDescent="0.25">
      <c r="A8" s="3" t="s">
        <v>100</v>
      </c>
    </row>
    <row r="9" spans="1:1" ht="27.95" customHeight="1" x14ac:dyDescent="0.25">
      <c r="A9" s="2" t="s">
        <v>101</v>
      </c>
    </row>
    <row r="10" spans="1:1" ht="27.95" customHeight="1" x14ac:dyDescent="0.25">
      <c r="A10" s="2" t="s">
        <v>102</v>
      </c>
    </row>
    <row r="11" spans="1:1" ht="27.95" customHeight="1" x14ac:dyDescent="0.25">
      <c r="A11" s="2" t="s">
        <v>103</v>
      </c>
    </row>
    <row r="12" spans="1:1" ht="27.95" customHeight="1" x14ac:dyDescent="0.25">
      <c r="A12" s="2" t="s">
        <v>104</v>
      </c>
    </row>
    <row r="13" spans="1:1" x14ac:dyDescent="0.25">
      <c r="A13" t="s">
        <v>105</v>
      </c>
    </row>
    <row r="14" spans="1:1" x14ac:dyDescent="0.25">
      <c r="A14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workbookViewId="0">
      <pane ySplit="9" topLeftCell="A10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6" width="12" customWidth="1"/>
    <col min="7" max="8" width="22" customWidth="1"/>
  </cols>
  <sheetData>
    <row r="1" spans="1:8" ht="26.1" customHeight="1" x14ac:dyDescent="0.25">
      <c r="A1" s="22" t="s">
        <v>107</v>
      </c>
      <c r="B1" s="18"/>
      <c r="C1" s="18"/>
      <c r="D1" s="18"/>
      <c r="E1" s="18"/>
      <c r="F1" s="18"/>
      <c r="G1" s="18"/>
      <c r="H1" s="18"/>
    </row>
    <row r="2" spans="1:8" ht="33.950000000000003" customHeight="1" x14ac:dyDescent="0.25">
      <c r="A2" s="21" t="s">
        <v>108</v>
      </c>
      <c r="B2" s="18"/>
      <c r="C2" s="18"/>
      <c r="D2" s="18"/>
      <c r="E2" s="18"/>
      <c r="F2" s="18"/>
      <c r="G2" s="18"/>
      <c r="H2" s="18"/>
    </row>
    <row r="4" spans="1:8" x14ac:dyDescent="0.25">
      <c r="A4" s="10" t="s">
        <v>109</v>
      </c>
      <c r="B4" s="20" t="s">
        <v>110</v>
      </c>
      <c r="C4" s="18"/>
      <c r="D4" s="18"/>
      <c r="E4" s="18"/>
      <c r="F4" s="18"/>
      <c r="G4" s="18"/>
      <c r="H4" s="18"/>
    </row>
    <row r="5" spans="1:8" ht="45.95" customHeight="1" x14ac:dyDescent="0.25">
      <c r="A5" s="10" t="s">
        <v>111</v>
      </c>
      <c r="B5" s="20" t="s">
        <v>112</v>
      </c>
      <c r="C5" s="18"/>
      <c r="D5" s="18"/>
      <c r="E5" s="18"/>
      <c r="F5" s="18"/>
      <c r="G5" s="18"/>
      <c r="H5" s="18"/>
    </row>
    <row r="6" spans="1:8" ht="32.1" customHeight="1" x14ac:dyDescent="0.25">
      <c r="A6" s="10" t="s">
        <v>113</v>
      </c>
      <c r="B6" s="20" t="s">
        <v>114</v>
      </c>
      <c r="C6" s="18"/>
      <c r="D6" s="18"/>
      <c r="E6" s="18"/>
      <c r="F6" s="18"/>
      <c r="G6" s="18"/>
      <c r="H6" s="18"/>
    </row>
    <row r="9" spans="1:8" ht="38.1" customHeight="1" x14ac:dyDescent="0.25">
      <c r="A9" s="11" t="s">
        <v>1</v>
      </c>
      <c r="B9" s="11" t="s">
        <v>115</v>
      </c>
      <c r="C9" s="11" t="s">
        <v>116</v>
      </c>
      <c r="D9" s="11" t="s">
        <v>117</v>
      </c>
      <c r="E9" s="11" t="s">
        <v>118</v>
      </c>
      <c r="F9" s="11" t="s">
        <v>119</v>
      </c>
      <c r="G9" s="11" t="s">
        <v>120</v>
      </c>
      <c r="H9" s="11" t="s">
        <v>121</v>
      </c>
    </row>
    <row r="10" spans="1:8" ht="21.95" customHeight="1" x14ac:dyDescent="0.25">
      <c r="A10" s="12" t="s">
        <v>10</v>
      </c>
      <c r="B10" s="13" t="s">
        <v>122</v>
      </c>
      <c r="C10" s="13" t="s">
        <v>123</v>
      </c>
      <c r="D10" s="13" t="s">
        <v>122</v>
      </c>
      <c r="E10" s="13" t="s">
        <v>123</v>
      </c>
      <c r="F10" s="13" t="s">
        <v>122</v>
      </c>
      <c r="G10" s="13" t="s">
        <v>123</v>
      </c>
      <c r="H10" s="14" t="s">
        <v>124</v>
      </c>
    </row>
    <row r="11" spans="1:8" ht="21.95" customHeight="1" x14ac:dyDescent="0.25">
      <c r="A11" s="15" t="s">
        <v>13</v>
      </c>
      <c r="B11" s="16" t="s">
        <v>122</v>
      </c>
      <c r="C11" s="16" t="s">
        <v>122</v>
      </c>
      <c r="D11" s="16" t="s">
        <v>125</v>
      </c>
      <c r="E11" s="16" t="s">
        <v>126</v>
      </c>
      <c r="F11" s="16" t="s">
        <v>127</v>
      </c>
      <c r="G11" s="16" t="s">
        <v>128</v>
      </c>
      <c r="H11" s="16" t="s">
        <v>129</v>
      </c>
    </row>
    <row r="12" spans="1:8" ht="21.95" customHeight="1" x14ac:dyDescent="0.25">
      <c r="A12" s="12" t="s">
        <v>15</v>
      </c>
      <c r="B12" s="13" t="s">
        <v>130</v>
      </c>
      <c r="C12" s="13" t="s">
        <v>122</v>
      </c>
      <c r="D12" s="13" t="s">
        <v>131</v>
      </c>
      <c r="E12" s="13" t="s">
        <v>132</v>
      </c>
      <c r="F12" s="13" t="s">
        <v>127</v>
      </c>
      <c r="G12" s="13" t="s">
        <v>133</v>
      </c>
      <c r="H12" s="13" t="s">
        <v>129</v>
      </c>
    </row>
    <row r="13" spans="1:8" ht="21.95" customHeight="1" x14ac:dyDescent="0.25">
      <c r="A13" s="15" t="s">
        <v>17</v>
      </c>
      <c r="B13" s="16" t="s">
        <v>134</v>
      </c>
      <c r="C13" s="16" t="s">
        <v>122</v>
      </c>
      <c r="D13" s="16" t="s">
        <v>135</v>
      </c>
      <c r="E13" s="16" t="s">
        <v>122</v>
      </c>
      <c r="F13" s="16" t="s">
        <v>135</v>
      </c>
      <c r="G13" s="16" t="s">
        <v>123</v>
      </c>
      <c r="H13" s="14" t="s">
        <v>124</v>
      </c>
    </row>
    <row r="14" spans="1:8" ht="21.95" customHeight="1" x14ac:dyDescent="0.25">
      <c r="A14" s="12" t="s">
        <v>19</v>
      </c>
      <c r="B14" s="13" t="s">
        <v>122</v>
      </c>
      <c r="C14" s="13" t="s">
        <v>122</v>
      </c>
      <c r="D14" s="13" t="s">
        <v>125</v>
      </c>
      <c r="E14" s="13" t="s">
        <v>134</v>
      </c>
      <c r="F14" s="13" t="s">
        <v>135</v>
      </c>
      <c r="G14" s="13" t="s">
        <v>136</v>
      </c>
      <c r="H14" s="13" t="s">
        <v>129</v>
      </c>
    </row>
    <row r="15" spans="1:8" ht="21.95" customHeight="1" x14ac:dyDescent="0.25">
      <c r="A15" s="15" t="s">
        <v>21</v>
      </c>
      <c r="B15" s="16" t="s">
        <v>130</v>
      </c>
      <c r="C15" s="16" t="s">
        <v>135</v>
      </c>
      <c r="D15" s="16" t="s">
        <v>137</v>
      </c>
      <c r="E15" s="16" t="s">
        <v>135</v>
      </c>
      <c r="F15" s="16" t="s">
        <v>137</v>
      </c>
      <c r="G15" s="16" t="s">
        <v>123</v>
      </c>
      <c r="H15" s="14" t="s">
        <v>124</v>
      </c>
    </row>
    <row r="16" spans="1:8" ht="21.95" customHeight="1" x14ac:dyDescent="0.25">
      <c r="A16" s="12" t="s">
        <v>24</v>
      </c>
      <c r="B16" s="13" t="s">
        <v>125</v>
      </c>
      <c r="C16" s="13" t="s">
        <v>135</v>
      </c>
      <c r="D16" s="13" t="s">
        <v>138</v>
      </c>
      <c r="E16" s="13" t="s">
        <v>139</v>
      </c>
      <c r="F16" s="13" t="s">
        <v>140</v>
      </c>
      <c r="G16" s="13" t="s">
        <v>141</v>
      </c>
      <c r="H16" s="13" t="s">
        <v>129</v>
      </c>
    </row>
    <row r="17" spans="1:8" ht="21.95" customHeight="1" x14ac:dyDescent="0.25">
      <c r="A17" s="15" t="s">
        <v>26</v>
      </c>
      <c r="B17" s="16" t="s">
        <v>134</v>
      </c>
      <c r="C17" s="16" t="s">
        <v>125</v>
      </c>
      <c r="D17" s="16" t="s">
        <v>142</v>
      </c>
      <c r="E17" s="16" t="s">
        <v>143</v>
      </c>
      <c r="F17" s="16" t="s">
        <v>140</v>
      </c>
      <c r="G17" s="16" t="s">
        <v>144</v>
      </c>
      <c r="H17" s="16" t="s">
        <v>129</v>
      </c>
    </row>
    <row r="18" spans="1:8" ht="21.95" customHeight="1" x14ac:dyDescent="0.25">
      <c r="A18" s="12" t="s">
        <v>28</v>
      </c>
      <c r="B18" s="13" t="s">
        <v>130</v>
      </c>
      <c r="C18" s="13" t="s">
        <v>137</v>
      </c>
      <c r="D18" s="13" t="s">
        <v>145</v>
      </c>
      <c r="E18" s="13" t="s">
        <v>137</v>
      </c>
      <c r="F18" s="13" t="s">
        <v>145</v>
      </c>
      <c r="G18" s="13" t="s">
        <v>123</v>
      </c>
      <c r="H18" s="14" t="s">
        <v>124</v>
      </c>
    </row>
    <row r="19" spans="1:8" ht="21.95" customHeight="1" x14ac:dyDescent="0.25">
      <c r="A19" s="15" t="s">
        <v>30</v>
      </c>
      <c r="B19" s="16" t="s">
        <v>122</v>
      </c>
      <c r="C19" s="16" t="s">
        <v>145</v>
      </c>
      <c r="D19" s="16" t="s">
        <v>140</v>
      </c>
      <c r="E19" s="16" t="s">
        <v>145</v>
      </c>
      <c r="F19" s="16" t="s">
        <v>140</v>
      </c>
      <c r="G19" s="16" t="s">
        <v>123</v>
      </c>
      <c r="H19" s="14" t="s">
        <v>124</v>
      </c>
    </row>
    <row r="20" spans="1:8" ht="21.95" customHeight="1" x14ac:dyDescent="0.25">
      <c r="A20" s="12" t="s">
        <v>32</v>
      </c>
      <c r="B20" s="13" t="s">
        <v>131</v>
      </c>
      <c r="C20" s="13" t="s">
        <v>140</v>
      </c>
      <c r="D20" s="13" t="s">
        <v>146</v>
      </c>
      <c r="E20" s="13" t="s">
        <v>140</v>
      </c>
      <c r="F20" s="13" t="s">
        <v>146</v>
      </c>
      <c r="G20" s="13" t="s">
        <v>123</v>
      </c>
      <c r="H20" s="14" t="s">
        <v>124</v>
      </c>
    </row>
    <row r="21" spans="1:8" ht="21.95" customHeight="1" x14ac:dyDescent="0.25">
      <c r="A21" s="15" t="s">
        <v>35</v>
      </c>
      <c r="B21" s="16" t="s">
        <v>122</v>
      </c>
      <c r="C21" s="16" t="s">
        <v>146</v>
      </c>
      <c r="D21" s="16" t="s">
        <v>147</v>
      </c>
      <c r="E21" s="16" t="s">
        <v>146</v>
      </c>
      <c r="F21" s="16" t="s">
        <v>147</v>
      </c>
      <c r="G21" s="16" t="s">
        <v>123</v>
      </c>
      <c r="H21" s="14" t="s">
        <v>124</v>
      </c>
    </row>
    <row r="22" spans="1:8" ht="21.95" customHeight="1" x14ac:dyDescent="0.25">
      <c r="A22" s="12" t="s">
        <v>37</v>
      </c>
      <c r="B22" s="13" t="s">
        <v>130</v>
      </c>
      <c r="C22" s="13" t="s">
        <v>147</v>
      </c>
      <c r="D22" s="13" t="s">
        <v>148</v>
      </c>
      <c r="E22" s="13" t="s">
        <v>149</v>
      </c>
      <c r="F22" s="13" t="s">
        <v>150</v>
      </c>
      <c r="G22" s="13" t="s">
        <v>151</v>
      </c>
      <c r="H22" s="13" t="s">
        <v>129</v>
      </c>
    </row>
    <row r="23" spans="1:8" ht="21.95" customHeight="1" x14ac:dyDescent="0.25">
      <c r="A23" s="15" t="s">
        <v>39</v>
      </c>
      <c r="B23" s="16" t="s">
        <v>122</v>
      </c>
      <c r="C23" s="16" t="s">
        <v>148</v>
      </c>
      <c r="D23" s="16" t="s">
        <v>152</v>
      </c>
      <c r="E23" s="16" t="s">
        <v>150</v>
      </c>
      <c r="F23" s="16" t="s">
        <v>153</v>
      </c>
      <c r="G23" s="16" t="s">
        <v>151</v>
      </c>
      <c r="H23" s="16" t="s">
        <v>129</v>
      </c>
    </row>
    <row r="24" spans="1:8" ht="21.95" customHeight="1" x14ac:dyDescent="0.25">
      <c r="A24" s="12" t="s">
        <v>41</v>
      </c>
      <c r="B24" s="13" t="s">
        <v>131</v>
      </c>
      <c r="C24" s="13" t="s">
        <v>147</v>
      </c>
      <c r="D24" s="13" t="s">
        <v>152</v>
      </c>
      <c r="E24" s="13" t="s">
        <v>147</v>
      </c>
      <c r="F24" s="13" t="s">
        <v>152</v>
      </c>
      <c r="G24" s="13" t="s">
        <v>123</v>
      </c>
      <c r="H24" s="14" t="s">
        <v>124</v>
      </c>
    </row>
    <row r="25" spans="1:8" ht="21.95" customHeight="1" x14ac:dyDescent="0.25">
      <c r="A25" s="15" t="s">
        <v>43</v>
      </c>
      <c r="B25" s="16" t="s">
        <v>122</v>
      </c>
      <c r="C25" s="16" t="s">
        <v>152</v>
      </c>
      <c r="D25" s="16" t="s">
        <v>154</v>
      </c>
      <c r="E25" s="16" t="s">
        <v>152</v>
      </c>
      <c r="F25" s="16" t="s">
        <v>154</v>
      </c>
      <c r="G25" s="16" t="s">
        <v>123</v>
      </c>
      <c r="H25" s="14" t="s">
        <v>124</v>
      </c>
    </row>
    <row r="26" spans="1:8" ht="21.95" customHeight="1" x14ac:dyDescent="0.25">
      <c r="A26" s="12" t="s">
        <v>45</v>
      </c>
      <c r="B26" s="13" t="s">
        <v>125</v>
      </c>
      <c r="C26" s="13" t="s">
        <v>154</v>
      </c>
      <c r="D26" s="13" t="s">
        <v>155</v>
      </c>
      <c r="E26" s="13" t="s">
        <v>156</v>
      </c>
      <c r="F26" s="13" t="s">
        <v>157</v>
      </c>
      <c r="G26" s="13" t="s">
        <v>131</v>
      </c>
      <c r="H26" s="13" t="s">
        <v>129</v>
      </c>
    </row>
    <row r="27" spans="1:8" ht="21.95" customHeight="1" x14ac:dyDescent="0.25">
      <c r="A27" s="15" t="s">
        <v>47</v>
      </c>
      <c r="B27" s="16" t="s">
        <v>122</v>
      </c>
      <c r="C27" s="16" t="s">
        <v>155</v>
      </c>
      <c r="D27" s="16" t="s">
        <v>158</v>
      </c>
      <c r="E27" s="16" t="s">
        <v>157</v>
      </c>
      <c r="F27" s="16" t="s">
        <v>159</v>
      </c>
      <c r="G27" s="16" t="s">
        <v>131</v>
      </c>
      <c r="H27" s="16" t="s">
        <v>129</v>
      </c>
    </row>
    <row r="28" spans="1:8" ht="21.95" customHeight="1" x14ac:dyDescent="0.25">
      <c r="A28" s="12" t="s">
        <v>49</v>
      </c>
      <c r="B28" s="13" t="s">
        <v>125</v>
      </c>
      <c r="C28" s="13" t="s">
        <v>154</v>
      </c>
      <c r="D28" s="13" t="s">
        <v>155</v>
      </c>
      <c r="E28" s="13" t="s">
        <v>154</v>
      </c>
      <c r="F28" s="13" t="s">
        <v>155</v>
      </c>
      <c r="G28" s="13" t="s">
        <v>123</v>
      </c>
      <c r="H28" s="14" t="s">
        <v>124</v>
      </c>
    </row>
    <row r="29" spans="1:8" ht="21.95" customHeight="1" x14ac:dyDescent="0.25">
      <c r="A29" s="15" t="s">
        <v>51</v>
      </c>
      <c r="B29" s="16" t="s">
        <v>122</v>
      </c>
      <c r="C29" s="16" t="s">
        <v>155</v>
      </c>
      <c r="D29" s="16" t="s">
        <v>158</v>
      </c>
      <c r="E29" s="16" t="s">
        <v>155</v>
      </c>
      <c r="F29" s="16" t="s">
        <v>158</v>
      </c>
      <c r="G29" s="16" t="s">
        <v>123</v>
      </c>
      <c r="H29" s="14" t="s">
        <v>124</v>
      </c>
    </row>
    <row r="30" spans="1:8" ht="21.95" customHeight="1" x14ac:dyDescent="0.25">
      <c r="A30" s="12" t="s">
        <v>53</v>
      </c>
      <c r="B30" s="13" t="s">
        <v>135</v>
      </c>
      <c r="C30" s="13" t="s">
        <v>140</v>
      </c>
      <c r="D30" s="13" t="s">
        <v>160</v>
      </c>
      <c r="E30" s="13" t="s">
        <v>161</v>
      </c>
      <c r="F30" s="13" t="s">
        <v>162</v>
      </c>
      <c r="G30" s="13" t="s">
        <v>163</v>
      </c>
      <c r="H30" s="13" t="s">
        <v>129</v>
      </c>
    </row>
    <row r="31" spans="1:8" ht="21.95" customHeight="1" x14ac:dyDescent="0.25">
      <c r="A31" s="15" t="s">
        <v>56</v>
      </c>
      <c r="B31" s="16" t="s">
        <v>122</v>
      </c>
      <c r="C31" s="16" t="s">
        <v>160</v>
      </c>
      <c r="D31" s="16" t="s">
        <v>164</v>
      </c>
      <c r="E31" s="16" t="s">
        <v>162</v>
      </c>
      <c r="F31" s="16" t="s">
        <v>165</v>
      </c>
      <c r="G31" s="16" t="s">
        <v>163</v>
      </c>
      <c r="H31" s="16" t="s">
        <v>129</v>
      </c>
    </row>
    <row r="32" spans="1:8" ht="21.95" customHeight="1" x14ac:dyDescent="0.25">
      <c r="A32" s="12" t="s">
        <v>58</v>
      </c>
      <c r="B32" s="13" t="s">
        <v>125</v>
      </c>
      <c r="C32" s="13" t="s">
        <v>158</v>
      </c>
      <c r="D32" s="13" t="s">
        <v>166</v>
      </c>
      <c r="E32" s="13" t="s">
        <v>167</v>
      </c>
      <c r="F32" s="13" t="s">
        <v>150</v>
      </c>
      <c r="G32" s="13" t="s">
        <v>168</v>
      </c>
      <c r="H32" s="13" t="s">
        <v>129</v>
      </c>
    </row>
    <row r="33" spans="1:8" ht="21.95" customHeight="1" x14ac:dyDescent="0.25">
      <c r="A33" s="15" t="s">
        <v>60</v>
      </c>
      <c r="B33" s="16" t="s">
        <v>122</v>
      </c>
      <c r="C33" s="16" t="s">
        <v>166</v>
      </c>
      <c r="D33" s="16" t="s">
        <v>169</v>
      </c>
      <c r="E33" s="16" t="s">
        <v>150</v>
      </c>
      <c r="F33" s="16" t="s">
        <v>153</v>
      </c>
      <c r="G33" s="16" t="s">
        <v>168</v>
      </c>
      <c r="H33" s="16" t="s">
        <v>129</v>
      </c>
    </row>
    <row r="34" spans="1:8" ht="21.95" customHeight="1" x14ac:dyDescent="0.25">
      <c r="A34" s="12" t="s">
        <v>62</v>
      </c>
      <c r="B34" s="13" t="s">
        <v>130</v>
      </c>
      <c r="C34" s="13" t="s">
        <v>158</v>
      </c>
      <c r="D34" s="13" t="s">
        <v>157</v>
      </c>
      <c r="E34" s="13" t="s">
        <v>158</v>
      </c>
      <c r="F34" s="13" t="s">
        <v>157</v>
      </c>
      <c r="G34" s="13" t="s">
        <v>123</v>
      </c>
      <c r="H34" s="14" t="s">
        <v>124</v>
      </c>
    </row>
    <row r="35" spans="1:8" ht="21.95" customHeight="1" x14ac:dyDescent="0.25">
      <c r="A35" s="15" t="s">
        <v>64</v>
      </c>
      <c r="B35" s="16" t="s">
        <v>122</v>
      </c>
      <c r="C35" s="16" t="s">
        <v>157</v>
      </c>
      <c r="D35" s="16" t="s">
        <v>159</v>
      </c>
      <c r="E35" s="16" t="s">
        <v>157</v>
      </c>
      <c r="F35" s="16" t="s">
        <v>159</v>
      </c>
      <c r="G35" s="16" t="s">
        <v>123</v>
      </c>
      <c r="H35" s="14" t="s">
        <v>124</v>
      </c>
    </row>
    <row r="36" spans="1:8" ht="21.95" customHeight="1" x14ac:dyDescent="0.25">
      <c r="A36" s="12" t="s">
        <v>66</v>
      </c>
      <c r="B36" s="13" t="s">
        <v>135</v>
      </c>
      <c r="C36" s="13" t="s">
        <v>159</v>
      </c>
      <c r="D36" s="13" t="s">
        <v>150</v>
      </c>
      <c r="E36" s="13" t="s">
        <v>159</v>
      </c>
      <c r="F36" s="13" t="s">
        <v>150</v>
      </c>
      <c r="G36" s="13" t="s">
        <v>123</v>
      </c>
      <c r="H36" s="14" t="s">
        <v>124</v>
      </c>
    </row>
    <row r="37" spans="1:8" ht="21.95" customHeight="1" x14ac:dyDescent="0.25">
      <c r="A37" s="15" t="s">
        <v>69</v>
      </c>
      <c r="B37" s="16" t="s">
        <v>122</v>
      </c>
      <c r="C37" s="16" t="s">
        <v>150</v>
      </c>
      <c r="D37" s="16" t="s">
        <v>153</v>
      </c>
      <c r="E37" s="16" t="s">
        <v>150</v>
      </c>
      <c r="F37" s="16" t="s">
        <v>153</v>
      </c>
      <c r="G37" s="16" t="s">
        <v>123</v>
      </c>
      <c r="H37" s="14" t="s">
        <v>124</v>
      </c>
    </row>
    <row r="38" spans="1:8" ht="21.95" customHeight="1" x14ac:dyDescent="0.25">
      <c r="A38" s="12" t="s">
        <v>71</v>
      </c>
      <c r="B38" s="13" t="s">
        <v>125</v>
      </c>
      <c r="C38" s="13" t="s">
        <v>164</v>
      </c>
      <c r="D38" s="13" t="s">
        <v>170</v>
      </c>
      <c r="E38" s="13" t="s">
        <v>165</v>
      </c>
      <c r="F38" s="13" t="s">
        <v>171</v>
      </c>
      <c r="G38" s="13" t="s">
        <v>163</v>
      </c>
      <c r="H38" s="13" t="s">
        <v>129</v>
      </c>
    </row>
    <row r="39" spans="1:8" ht="21.95" customHeight="1" x14ac:dyDescent="0.25">
      <c r="A39" s="15" t="s">
        <v>74</v>
      </c>
      <c r="B39" s="16" t="s">
        <v>122</v>
      </c>
      <c r="C39" s="16" t="s">
        <v>170</v>
      </c>
      <c r="D39" s="16" t="s">
        <v>172</v>
      </c>
      <c r="E39" s="16" t="s">
        <v>171</v>
      </c>
      <c r="F39" s="16" t="s">
        <v>173</v>
      </c>
      <c r="G39" s="16" t="s">
        <v>163</v>
      </c>
      <c r="H39" s="16" t="s">
        <v>129</v>
      </c>
    </row>
    <row r="40" spans="1:8" ht="21.95" customHeight="1" x14ac:dyDescent="0.25">
      <c r="A40" s="12" t="s">
        <v>76</v>
      </c>
      <c r="B40" s="13" t="s">
        <v>125</v>
      </c>
      <c r="C40" s="13" t="s">
        <v>153</v>
      </c>
      <c r="D40" s="13" t="s">
        <v>174</v>
      </c>
      <c r="E40" s="13" t="s">
        <v>153</v>
      </c>
      <c r="F40" s="13" t="s">
        <v>174</v>
      </c>
      <c r="G40" s="13" t="s">
        <v>123</v>
      </c>
      <c r="H40" s="14" t="s">
        <v>124</v>
      </c>
    </row>
    <row r="41" spans="1:8" ht="21.95" customHeight="1" x14ac:dyDescent="0.25">
      <c r="A41" s="15" t="s">
        <v>79</v>
      </c>
      <c r="B41" s="16" t="s">
        <v>175</v>
      </c>
      <c r="C41" s="16" t="s">
        <v>159</v>
      </c>
      <c r="D41" s="16" t="s">
        <v>176</v>
      </c>
      <c r="E41" s="16" t="s">
        <v>173</v>
      </c>
      <c r="F41" s="16" t="s">
        <v>174</v>
      </c>
      <c r="G41" s="16" t="s">
        <v>177</v>
      </c>
      <c r="H41" s="16" t="s">
        <v>129</v>
      </c>
    </row>
    <row r="42" spans="1:8" ht="21.95" customHeight="1" x14ac:dyDescent="0.25">
      <c r="A42" s="12" t="s">
        <v>82</v>
      </c>
      <c r="B42" s="13" t="s">
        <v>130</v>
      </c>
      <c r="C42" s="13" t="s">
        <v>174</v>
      </c>
      <c r="D42" s="13" t="s">
        <v>178</v>
      </c>
      <c r="E42" s="13" t="s">
        <v>174</v>
      </c>
      <c r="F42" s="13" t="s">
        <v>178</v>
      </c>
      <c r="G42" s="13" t="s">
        <v>123</v>
      </c>
      <c r="H42" s="14" t="s">
        <v>124</v>
      </c>
    </row>
    <row r="43" spans="1:8" ht="21.95" customHeight="1" x14ac:dyDescent="0.25">
      <c r="A43" s="15" t="s">
        <v>85</v>
      </c>
      <c r="B43" s="16" t="s">
        <v>135</v>
      </c>
      <c r="C43" s="16" t="s">
        <v>178</v>
      </c>
      <c r="D43" s="16" t="s">
        <v>179</v>
      </c>
      <c r="E43" s="16" t="s">
        <v>178</v>
      </c>
      <c r="F43" s="16" t="s">
        <v>179</v>
      </c>
      <c r="G43" s="16" t="s">
        <v>123</v>
      </c>
      <c r="H43" s="14" t="s">
        <v>124</v>
      </c>
    </row>
    <row r="44" spans="1:8" ht="21.95" customHeight="1" x14ac:dyDescent="0.25">
      <c r="A44" s="12" t="s">
        <v>87</v>
      </c>
      <c r="B44" s="13" t="s">
        <v>122</v>
      </c>
      <c r="C44" s="13" t="s">
        <v>178</v>
      </c>
      <c r="D44" s="13" t="s">
        <v>180</v>
      </c>
      <c r="E44" s="13" t="s">
        <v>181</v>
      </c>
      <c r="F44" s="13" t="s">
        <v>179</v>
      </c>
      <c r="G44" s="13" t="s">
        <v>134</v>
      </c>
      <c r="H44" s="13" t="s">
        <v>129</v>
      </c>
    </row>
    <row r="45" spans="1:8" ht="21.95" customHeight="1" x14ac:dyDescent="0.25">
      <c r="A45" s="15" t="s">
        <v>89</v>
      </c>
      <c r="B45" s="16" t="s">
        <v>130</v>
      </c>
      <c r="C45" s="16" t="s">
        <v>178</v>
      </c>
      <c r="D45" s="16" t="s">
        <v>132</v>
      </c>
      <c r="E45" s="16" t="s">
        <v>182</v>
      </c>
      <c r="F45" s="16" t="s">
        <v>179</v>
      </c>
      <c r="G45" s="16" t="s">
        <v>183</v>
      </c>
      <c r="H45" s="16" t="s">
        <v>129</v>
      </c>
    </row>
    <row r="46" spans="1:8" ht="21.95" customHeight="1" x14ac:dyDescent="0.25">
      <c r="A46" s="12" t="s">
        <v>91</v>
      </c>
      <c r="B46" s="13" t="s">
        <v>134</v>
      </c>
      <c r="C46" s="13" t="s">
        <v>179</v>
      </c>
      <c r="D46" s="13" t="s">
        <v>127</v>
      </c>
      <c r="E46" s="13" t="s">
        <v>179</v>
      </c>
      <c r="F46" s="13" t="s">
        <v>127</v>
      </c>
      <c r="G46" s="13" t="s">
        <v>123</v>
      </c>
      <c r="H46" s="14" t="s">
        <v>124</v>
      </c>
    </row>
  </sheetData>
  <autoFilter ref="A9:H46" xr:uid="{00000000-0009-0000-0000-000002000000}"/>
  <mergeCells count="5">
    <mergeCell ref="B4:H4"/>
    <mergeCell ref="A2:H2"/>
    <mergeCell ref="B6:H6"/>
    <mergeCell ref="A1:H1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PERT - Dulce</vt:lpstr>
      <vt:lpstr>Notas</vt:lpstr>
      <vt:lpstr>Ruta crítica - sección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Edith Macias</cp:lastModifiedBy>
  <dcterms:created xsi:type="dcterms:W3CDTF">2026-10-25T18:57:44Z</dcterms:created>
  <dcterms:modified xsi:type="dcterms:W3CDTF">2026-10-25T19:27:18Z</dcterms:modified>
</cp:coreProperties>
</file>